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Build" sheetId="1" state="visible" r:id="rId3"/>
    <sheet name="Sensor Placement" sheetId="2" state="visible" r:id="rId4"/>
    <sheet name="Demo Flow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<sst xmlns="http://schemas.openxmlformats.org/spreadsheetml/2006/main" count="75" uniqueCount="71">
  <si>
    <t xml:space="preserve">SafeFlight turbine model: build list</t>
  </si>
  <si>
    <t xml:space="preserve">Part</t>
  </si>
  <si>
    <t xml:space="preserve">Size (approx.)</t>
  </si>
  <si>
    <t xml:space="preserve">Material / how to build</t>
  </si>
  <si>
    <t xml:space="preserve">Done? (Yes/No)</t>
  </si>
  <si>
    <t xml:space="preserve">Base</t>
  </si>
  <si>
    <t xml:space="preserve">30 x 20 cm</t>
  </si>
  <si>
    <t xml:space="preserve">Thick cardboard or thermocol sheet</t>
  </si>
  <si>
    <t xml:space="preserve">No</t>
  </si>
  <si>
    <t xml:space="preserve">Tower</t>
  </si>
  <si>
    <t xml:space="preserve">40 cm tall, 6 cm wide</t>
  </si>
  <si>
    <t xml:space="preserve">Cardboard tube or long box, glued to the base</t>
  </si>
  <si>
    <t xml:space="preserve">Nacelle (top box)</t>
  </si>
  <si>
    <t xml:space="preserve">10 x 5 x 5 cm</t>
  </si>
  <si>
    <t xml:space="preserve">Small box on top of the tower</t>
  </si>
  <si>
    <t xml:space="preserve">Rotor / blades</t>
  </si>
  <si>
    <t xml:space="preserve">3 blades, 15 cm each</t>
  </si>
  <si>
    <t xml:space="preserve">Cardboard or plastic strips, or a fan from the hardware desk</t>
  </si>
  <si>
    <t xml:space="preserve">Parts done</t>
  </si>
  <si>
    <t xml:space="preserve">Total parts</t>
  </si>
  <si>
    <t xml:space="preserve">Progress</t>
  </si>
  <si>
    <t xml:space="preserve">Note: sizes are suggested starting values, not fixed rules. Blue cells are for you to edit.</t>
  </si>
  <si>
    <t xml:space="preserve">Where to mount each part</t>
  </si>
  <si>
    <t xml:space="preserve">Where to mount</t>
  </si>
  <si>
    <t xml:space="preserve">Tip</t>
  </si>
  <si>
    <t xml:space="preserve">Mega pin</t>
  </si>
  <si>
    <t xml:space="preserve">Ultrasonic (HC-SR04)</t>
  </si>
  <si>
    <t xml:space="preserve">Front of the tower, about 15 cm up, facing where the bird comes from</t>
  </si>
  <si>
    <t xml:space="preserve">Keep the path in front clear</t>
  </si>
  <si>
    <t xml:space="preserve">D9 (Trig), D10 (Echo)</t>
  </si>
  <si>
    <t xml:space="preserve">Sound sensor</t>
  </si>
  <si>
    <t xml:space="preserve">Middle of the tower, microphone uncovered</t>
  </si>
  <si>
    <t xml:space="preserve">Keep the mic open to air</t>
  </si>
  <si>
    <t xml:space="preserve">A0 (AO)</t>
  </si>
  <si>
    <t xml:space="preserve">LDR + 10k resistor</t>
  </si>
  <si>
    <t xml:space="preserve">Upper part of the tower, light falling directly on it</t>
  </si>
  <si>
    <t xml:space="preserve">Covering it with a hand should trigger NIGHT</t>
  </si>
  <si>
    <t xml:space="preserve">A1 (junction)</t>
  </si>
  <si>
    <t xml:space="preserve">Relay + buzzer</t>
  </si>
  <si>
    <t xml:space="preserve">On the base, near the Arduino</t>
  </si>
  <si>
    <t xml:space="preserve">Buzzer wired to COM and NO terminals</t>
  </si>
  <si>
    <t xml:space="preserve">D7 (IN)</t>
  </si>
  <si>
    <t xml:space="preserve">Red LED + 220 ohm</t>
  </si>
  <si>
    <t xml:space="preserve">On the base, visible to judges</t>
  </si>
  <si>
    <t xml:space="preserve">Lights while the object is inside the perimeter</t>
  </si>
  <si>
    <t xml:space="preserve">D8</t>
  </si>
  <si>
    <t xml:space="preserve">I2C LCD</t>
  </si>
  <si>
    <t xml:space="preserve">On the base, facing the judges</t>
  </si>
  <si>
    <t xml:space="preserve">Shows SAFE or BIRD ALERT and distance</t>
  </si>
  <si>
    <t xml:space="preserve">SDA 20, SCL 21</t>
  </si>
  <si>
    <t xml:space="preserve">Arduino Mega + breadboard</t>
  </si>
  <si>
    <t xml:space="preserve">On the base</t>
  </si>
  <si>
    <t xml:space="preserve">Run wires down inside the tower</t>
  </si>
  <si>
    <t xml:space="preserve">-</t>
  </si>
  <si>
    <t xml:space="preserve">Demo flow for the judges</t>
  </si>
  <si>
    <t xml:space="preserve">Step</t>
  </si>
  <si>
    <t xml:space="preserve">What to do</t>
  </si>
  <si>
    <t xml:space="preserve">What the judges see</t>
  </si>
  <si>
    <t xml:space="preserve">Show the system in SAFE state with blades turning (or turn them by hand)</t>
  </si>
  <si>
    <t xml:space="preserve">LCD: Status: SAFE. LED off.</t>
  </si>
  <si>
    <t xml:space="preserve">Bring your hand or a paper bird inside the 40 cm perimeter</t>
  </si>
  <si>
    <t xml:space="preserve">LED on, relay clicks and buzzer sounds, LCD: BIRD ALERT (blades keep turning)</t>
  </si>
  <si>
    <t xml:space="preserve">Cover the LDR with your hand</t>
  </si>
  <si>
    <t xml:space="preserve">LCD shows NIGHT and the detection zone grows by 50%</t>
  </si>
  <si>
    <t xml:space="preserve">Move away and wait about 4 seconds</t>
  </si>
  <si>
    <t xml:space="preserve">LED and relay reset, LCD returns to SAFE</t>
  </si>
  <si>
    <t xml:space="preserve">Notes</t>
  </si>
  <si>
    <t xml:space="preserve">The interactive model in chat is a slider demo only. The real blades are not driven by the Arduino, and the model has no brake.</t>
  </si>
  <si>
    <t xml:space="preserve">If you have no fan or motor, turn the blades by hand. The model has no brake.</t>
  </si>
  <si>
    <t xml:space="preserve">The relay output only switches power. A buzzer or speaker must be connected to it to make sound.</t>
  </si>
  <si>
    <t xml:space="preserve">Perimeter distance is DANGER_CM in the code (40 cm by default; 60 cm at night).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</si>
</sst>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E7C8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B2A0"/>
      </left>
      <right style="thin">
        <color rgb="FFB8B2A0"/>
      </right>
      <top style="thin">
        <color rgb="FFB8B2A0"/>
      </top>
      <bottom style="thin">
        <color rgb="FFB8B2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B8B2A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3" t="s">
        <v>6</v>
      </c>
      <c r="C4" s="3" t="s">
        <v>7</v>
      </c>
      <c r="D4" s="4" t="s">
        <v>8</v>
      </c>
    </row>
    <row r="5" customFormat="false" ht="15" hidden="false" customHeight="false" outlineLevel="0" collapsed="false">
      <c r="A5" s="3" t="s">
        <v>9</v>
      </c>
      <c r="B5" s="3" t="s">
        <v>10</v>
      </c>
      <c r="C5" s="3" t="s">
        <v>11</v>
      </c>
      <c r="D5" s="4" t="s">
        <v>8</v>
      </c>
    </row>
    <row r="6" customFormat="false" ht="15" hidden="false" customHeight="false" outlineLevel="0" collapsed="false">
      <c r="A6" s="3" t="s">
        <v>12</v>
      </c>
      <c r="B6" s="3" t="s">
        <v>13</v>
      </c>
      <c r="C6" s="3" t="s">
        <v>14</v>
      </c>
      <c r="D6" s="4" t="s">
        <v>8</v>
      </c>
    </row>
    <row r="7" customFormat="false" ht="15" hidden="false" customHeight="false" outlineLevel="0" collapsed="false">
      <c r="A7" s="3" t="s">
        <v>15</v>
      </c>
      <c r="B7" s="3" t="s">
        <v>16</v>
      </c>
      <c r="C7" s="3" t="s">
        <v>17</v>
      </c>
      <c r="D7" s="4" t="s">
        <v>8</v>
      </c>
    </row>
    <row r="9" customFormat="false" ht="15" hidden="false" customHeight="false" outlineLevel="0" collapsed="false">
      <c r="A9" s="5" t="s">
        <v>18</v>
      </c>
      <c r="B9" s="6" t="n">
        <f aca="false">COUNTIF(D4:D7,"Yes")</f>
        <v>0</v>
      </c>
    </row>
    <row r="10" customFormat="false" ht="15" hidden="false" customHeight="false" outlineLevel="0" collapsed="false">
      <c r="A10" s="5" t="s">
        <v>19</v>
      </c>
      <c r="B10" s="6" t="n">
        <f aca="false">COUNTA(A4:A7)</f>
        <v>4</v>
      </c>
    </row>
    <row r="11" customFormat="false" ht="15" hidden="false" customHeight="false" outlineLevel="0" collapsed="false">
      <c r="A11" s="5" t="s">
        <v>20</v>
      </c>
      <c r="B11" s="7" t="n">
        <f aca="false">IF(B10=0,0,B9/B10)</f>
        <v>0</v>
      </c>
    </row>
    <row r="13" customFormat="false" ht="15" hidden="false" customHeight="false" outlineLevel="0" collapsed="false">
      <c r="A13" s="8" t="s">
        <v>21</v>
      </c>
    </row>
  </sheetData>
  <dataValidations count="1">
    <dataValidation allowBlank="false" errorStyle="stop" operator="between" showDropDown="false" showErrorMessage="false" showInputMessage="false" sqref="D4:D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6"/>
    <col collapsed="false" customWidth="true" hidden="false" outlineLevel="0" max="3" min="3" style="0" width="4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22</v>
      </c>
    </row>
    <row r="3" customFormat="false" ht="15" hidden="false" customHeight="false" outlineLevel="0" collapsed="false">
      <c r="A3" s="2" t="s">
        <v>1</v>
      </c>
      <c r="B3" s="2" t="s">
        <v>23</v>
      </c>
      <c r="C3" s="2" t="s">
        <v>24</v>
      </c>
      <c r="D3" s="2" t="s">
        <v>25</v>
      </c>
    </row>
    <row r="4" customFormat="false" ht="15" hidden="false" customHeight="false" outlineLevel="0" collapsed="false">
      <c r="A4" s="3" t="s">
        <v>26</v>
      </c>
      <c r="B4" s="3" t="s">
        <v>27</v>
      </c>
      <c r="C4" s="3" t="s">
        <v>28</v>
      </c>
      <c r="D4" s="3" t="s">
        <v>29</v>
      </c>
    </row>
    <row r="5" customFormat="false" ht="15" hidden="false" customHeight="false" outlineLevel="0" collapsed="false">
      <c r="A5" s="3" t="s">
        <v>30</v>
      </c>
      <c r="B5" s="3" t="s">
        <v>31</v>
      </c>
      <c r="C5" s="3" t="s">
        <v>32</v>
      </c>
      <c r="D5" s="3" t="s">
        <v>33</v>
      </c>
    </row>
    <row r="6" customFormat="false" ht="15" hidden="false" customHeight="false" outlineLevel="0" collapsed="false">
      <c r="A6" s="3" t="s">
        <v>34</v>
      </c>
      <c r="B6" s="3" t="s">
        <v>35</v>
      </c>
      <c r="C6" s="3" t="s">
        <v>36</v>
      </c>
      <c r="D6" s="3" t="s">
        <v>37</v>
      </c>
    </row>
    <row r="7" customFormat="false" ht="15" hidden="false" customHeight="false" outlineLevel="0" collapsed="false">
      <c r="A7" s="3" t="s">
        <v>38</v>
      </c>
      <c r="B7" s="3" t="s">
        <v>39</v>
      </c>
      <c r="C7" s="3" t="s">
        <v>40</v>
      </c>
      <c r="D7" s="3" t="s">
        <v>41</v>
      </c>
    </row>
    <row r="8" customFormat="false" ht="15" hidden="false" customHeight="false" outlineLevel="0" collapsed="false">
      <c r="A8" s="3" t="s">
        <v>42</v>
      </c>
      <c r="B8" s="3" t="s">
        <v>43</v>
      </c>
      <c r="C8" s="3" t="s">
        <v>44</v>
      </c>
      <c r="D8" s="3" t="s">
        <v>45</v>
      </c>
    </row>
    <row r="9" customFormat="false" ht="15" hidden="false" customHeight="false" outlineLevel="0" collapsed="false">
      <c r="A9" s="3" t="s">
        <v>46</v>
      </c>
      <c r="B9" s="3" t="s">
        <v>47</v>
      </c>
      <c r="C9" s="3" t="s">
        <v>48</v>
      </c>
      <c r="D9" s="3" t="s">
        <v>49</v>
      </c>
    </row>
    <row r="10" customFormat="false" ht="15" hidden="false" customHeight="false" outlineLevel="0" collapsed="false">
      <c r="A10" s="3" t="s">
        <v>50</v>
      </c>
      <c r="B10" s="3" t="s">
        <v>51</v>
      </c>
      <c r="C10" s="3" t="s">
        <v>52</v>
      </c>
      <c r="D10" s="3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54</v>
      </c>
    </row>
    <row r="3" customFormat="false" ht="15" hidden="false" customHeight="false" outlineLevel="0" collapsed="false">
      <c r="A3" s="2" t="s">
        <v>55</v>
      </c>
      <c r="B3" s="2" t="s">
        <v>56</v>
      </c>
      <c r="C3" s="2" t="s">
        <v>57</v>
      </c>
    </row>
    <row r="4" customFormat="false" ht="15" hidden="false" customHeight="false" outlineLevel="0" collapsed="false">
      <c r="A4" s="3" t="n">
        <v>1</v>
      </c>
      <c r="B4" s="3" t="s">
        <v>58</v>
      </c>
      <c r="C4" s="3" t="s">
        <v>59</v>
      </c>
    </row>
    <row r="5" customFormat="false" ht="23.85" hidden="false" customHeight="false" outlineLevel="0" collapsed="false">
      <c r="A5" s="3" t="n">
        <v>2</v>
      </c>
      <c r="B5" s="3" t="s">
        <v>60</v>
      </c>
      <c r="C5" s="3" t="s">
        <v>61</v>
      </c>
    </row>
    <row r="6" customFormat="false" ht="15" hidden="false" customHeight="false" outlineLevel="0" collapsed="false">
      <c r="A6" s="3" t="n">
        <v>3</v>
      </c>
      <c r="B6" s="3" t="s">
        <v>62</v>
      </c>
      <c r="C6" s="3" t="s">
        <v>63</v>
      </c>
    </row>
    <row r="7" customFormat="false" ht="15" hidden="false" customHeight="false" outlineLevel="0" collapsed="false">
      <c r="A7" s="3" t="n">
        <v>4</v>
      </c>
      <c r="B7" s="3" t="s">
        <v>64</v>
      </c>
      <c r="C7" s="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66</v>
      </c>
    </row>
    <row r="3" customFormat="false" ht="15" hidden="false" customHeight="false" outlineLevel="0" collapsed="false">
      <c r="A3" s="9" t="s">
        <v>67</v>
      </c>
    </row>
    <row r="4" customFormat="false" ht="15" hidden="false" customHeight="false" outlineLevel="0" collapsed="false">
      <c r="A4" s="9" t="s">
        <v>68</v>
      </c>
    </row>
    <row r="5" customFormat="false" ht="15" hidden="false" customHeight="false" outlineLevel="0" collapsed="false">
      <c r="A5" s="9" t="s">
        <v>69</v>
      </c>
    </row>
    <row r="6" customFormat="false" ht="15" hidden="false" customHeight="false" outlineLevel="0" collapsed="false">
      <c r="A6" s="9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2026-10-26T08:56:46Z</dcterms:created>
  <dc:creator>openpyxl</dc:creator>
  <dc:description/>
  <dc:language>en-US</dc:language>
  <cp:lastModifiedBy/>
  <dcterms:modified xsi:type="dcterms:W3CDTF">2026-10-26T08:56:46Z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